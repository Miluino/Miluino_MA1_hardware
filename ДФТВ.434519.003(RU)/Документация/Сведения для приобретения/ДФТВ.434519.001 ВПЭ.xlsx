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76694cc8280a28/Рабочий стол/MDR32_Nucleo/ДФТВ.434519.001/ДФТВ.434519.001/"/>
    </mc:Choice>
  </mc:AlternateContent>
  <xr:revisionPtr revIDLastSave="215" documentId="8_{DA505E43-C14A-4046-A0CF-95B0F9A84F7D}" xr6:coauthVersionLast="47" xr6:coauthVersionMax="47" xr10:uidLastSave="{A5A86F26-F1A0-4FA2-A463-A479A40B77EE}"/>
  <bookViews>
    <workbookView xWindow="38535" yWindow="16230" windowWidth="38670" windowHeight="15255" xr2:uid="{763B40FA-4115-45EF-BE6A-7061DF7CEF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8" i="1" l="1"/>
  <c r="M48" i="1"/>
  <c r="L48" i="1"/>
  <c r="L46" i="1"/>
  <c r="L44" i="1"/>
  <c r="L42" i="1"/>
  <c r="K4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3" i="1"/>
  <c r="H36" i="1"/>
  <c r="H37" i="1"/>
  <c r="H38" i="1"/>
  <c r="H39" i="1"/>
  <c r="H41" i="1"/>
  <c r="H4" i="1"/>
  <c r="H6" i="1"/>
  <c r="H7" i="1"/>
  <c r="H8" i="1"/>
  <c r="H10" i="1"/>
  <c r="H11" i="1"/>
  <c r="H12" i="1"/>
  <c r="H13" i="1"/>
  <c r="H14" i="1"/>
  <c r="H16" i="1"/>
  <c r="H17" i="1"/>
  <c r="H18" i="1"/>
  <c r="H19" i="1"/>
  <c r="H20" i="1"/>
  <c r="H21" i="1"/>
  <c r="H22" i="1"/>
  <c r="H24" i="1"/>
  <c r="H26" i="1"/>
  <c r="H28" i="1"/>
  <c r="H30" i="1"/>
  <c r="H31" i="1"/>
  <c r="H32" i="1"/>
  <c r="H33" i="1"/>
  <c r="H34" i="1"/>
  <c r="H3" i="1"/>
  <c r="H43" i="1" l="1"/>
</calcChain>
</file>

<file path=xl/sharedStrings.xml><?xml version="1.0" encoding="utf-8"?>
<sst xmlns="http://schemas.openxmlformats.org/spreadsheetml/2006/main" count="49" uniqueCount="47">
  <si>
    <t>№ п/п</t>
  </si>
  <si>
    <t>Наименование</t>
  </si>
  <si>
    <t>Код продукта</t>
  </si>
  <si>
    <t>Документ на поставку</t>
  </si>
  <si>
    <t>Поставщик</t>
  </si>
  <si>
    <t>Цена</t>
  </si>
  <si>
    <t>Кол-во</t>
  </si>
  <si>
    <t>Стоимость</t>
  </si>
  <si>
    <t>Примечание</t>
  </si>
  <si>
    <t>Конденсаторы</t>
  </si>
  <si>
    <t>smd 0.1мкФ X7R 50В 10% 0603</t>
  </si>
  <si>
    <t>ООО "ДКО "Электронщик"</t>
  </si>
  <si>
    <t>smd 24пФ NPO 50В 5% 0603</t>
  </si>
  <si>
    <t>Микросхемы</t>
  </si>
  <si>
    <t>AMS1117-3.3</t>
  </si>
  <si>
    <t>STM32F103C8T6</t>
  </si>
  <si>
    <t>К1986ВЕ92QI</t>
  </si>
  <si>
    <t>ТСКЯ.431000.001 ТУ</t>
  </si>
  <si>
    <t>АО ПКК "Миландр"</t>
  </si>
  <si>
    <t>ЗАО "Чип и Дип"</t>
  </si>
  <si>
    <t>Приборы световой сигнализации</t>
  </si>
  <si>
    <t>FYLS-0603UWC</t>
  </si>
  <si>
    <t>KAA-3528ESGC</t>
  </si>
  <si>
    <t>KPG-1608QBC-D</t>
  </si>
  <si>
    <t>KPT-1608SECK</t>
  </si>
  <si>
    <t>KPT-1608SYC</t>
  </si>
  <si>
    <t>Резисторы</t>
  </si>
  <si>
    <t>Выключатели кнопочные</t>
  </si>
  <si>
    <t>KLS7-TS6604-7.0-180-B(Т)</t>
  </si>
  <si>
    <t>Диоды</t>
  </si>
  <si>
    <t>BAT60JFILM</t>
  </si>
  <si>
    <t>Транзисторы</t>
  </si>
  <si>
    <t>BC850B,215</t>
  </si>
  <si>
    <t>Вилки</t>
  </si>
  <si>
    <t>DS1021-1x2</t>
  </si>
  <si>
    <t>DS1021-1x3</t>
  </si>
  <si>
    <t>DS1021-1x4</t>
  </si>
  <si>
    <t>DS1021-1x6</t>
  </si>
  <si>
    <t>DS-1029-04 - 2x40</t>
  </si>
  <si>
    <t>Розетки</t>
  </si>
  <si>
    <t>1734035-1</t>
  </si>
  <si>
    <t>DS-1023 -1x 8</t>
  </si>
  <si>
    <t>Печатные платы</t>
  </si>
  <si>
    <t>ДФТВ.434519.001.01</t>
  </si>
  <si>
    <t>DS-1023 -1x 10</t>
  </si>
  <si>
    <t>DS-1023 -1x 6</t>
  </si>
  <si>
    <t>Себес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</si>
</sst>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9A4B-E5BB-40B2-8EB6-FDD0E1090607}">
  <dimension ref="A1:N51"/>
  <sheetViews>
    <sheetView tabSelected="1" workbookViewId="0">
      <selection activeCell="L46" sqref="L46"/>
    </sheetView>
  </sheetViews>
  <sheetFormatPr defaultRowHeight="15" x14ac:dyDescent="0.25"/>
  <cols>
    <col min="2" max="2" width="33.7109375" customWidth="1"/>
    <col min="3" max="3" width="12.85546875" customWidth="1"/>
    <col min="4" max="4" width="24.28515625" customWidth="1"/>
    <col min="5" max="5" width="24.5703125" customWidth="1"/>
    <col min="6" max="6" width="13.7109375" customWidth="1"/>
    <col min="7" max="7" width="11.7109375" customWidth="1"/>
    <col min="8" max="8" width="13" customWidth="1"/>
    <col min="9" max="9" width="26.7109375" customWidth="1"/>
    <col min="12" max="14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B2" t="s">
        <v>9</v>
      </c>
      <c r="F2" s="1"/>
    </row>
    <row r="3" spans="1:11" x14ac:dyDescent="0.25">
      <c r="A3">
        <v>1</v>
      </c>
      <c r="B3" t="s">
        <v>10</v>
      </c>
      <c r="C3" s="2">
        <v>341469</v>
      </c>
      <c r="E3" t="s">
        <v>11</v>
      </c>
      <c r="F3" s="1">
        <v>0.55000000000000004</v>
      </c>
      <c r="G3">
        <v>22</v>
      </c>
      <c r="H3" s="1">
        <f>F3*G3</f>
        <v>12.100000000000001</v>
      </c>
      <c r="J3">
        <v>2</v>
      </c>
      <c r="K3">
        <f>G3*J3</f>
        <v>44</v>
      </c>
    </row>
    <row r="4" spans="1:11" x14ac:dyDescent="0.25">
      <c r="A4">
        <v>2</v>
      </c>
      <c r="B4" t="s">
        <v>12</v>
      </c>
      <c r="C4" s="2">
        <v>341469</v>
      </c>
      <c r="E4" t="s">
        <v>11</v>
      </c>
      <c r="F4" s="1">
        <v>0.6</v>
      </c>
      <c r="G4">
        <v>6</v>
      </c>
      <c r="H4" s="1">
        <f t="shared" ref="H4:H41" si="0">F4*G4</f>
        <v>3.5999999999999996</v>
      </c>
      <c r="J4">
        <v>2</v>
      </c>
      <c r="K4">
        <f t="shared" ref="K4:K39" si="1">G4*J4</f>
        <v>12</v>
      </c>
    </row>
    <row r="5" spans="1:11" x14ac:dyDescent="0.25">
      <c r="B5" t="s">
        <v>13</v>
      </c>
      <c r="F5" s="1"/>
      <c r="H5" s="1"/>
      <c r="K5">
        <f t="shared" si="1"/>
        <v>0</v>
      </c>
    </row>
    <row r="6" spans="1:11" x14ac:dyDescent="0.25">
      <c r="A6">
        <v>3</v>
      </c>
      <c r="B6" t="s">
        <v>14</v>
      </c>
      <c r="C6" s="2">
        <v>633300</v>
      </c>
      <c r="E6" t="s">
        <v>19</v>
      </c>
      <c r="F6" s="1">
        <v>26</v>
      </c>
      <c r="G6">
        <v>2</v>
      </c>
      <c r="H6" s="1">
        <f t="shared" si="0"/>
        <v>52</v>
      </c>
      <c r="J6">
        <v>4</v>
      </c>
      <c r="K6">
        <f t="shared" si="1"/>
        <v>8</v>
      </c>
    </row>
    <row r="7" spans="1:11" x14ac:dyDescent="0.25">
      <c r="A7">
        <v>4</v>
      </c>
      <c r="B7" t="s">
        <v>15</v>
      </c>
      <c r="C7" s="2">
        <v>633900</v>
      </c>
      <c r="E7" t="s">
        <v>19</v>
      </c>
      <c r="F7" s="1">
        <v>1000</v>
      </c>
      <c r="G7">
        <v>1</v>
      </c>
      <c r="H7" s="1">
        <f t="shared" si="0"/>
        <v>1000</v>
      </c>
      <c r="J7">
        <v>48</v>
      </c>
      <c r="K7">
        <f t="shared" si="1"/>
        <v>48</v>
      </c>
    </row>
    <row r="8" spans="1:11" x14ac:dyDescent="0.25">
      <c r="A8">
        <v>5</v>
      </c>
      <c r="B8" t="s">
        <v>16</v>
      </c>
      <c r="C8" s="2">
        <v>633900</v>
      </c>
      <c r="D8" t="s">
        <v>17</v>
      </c>
      <c r="E8" t="s">
        <v>18</v>
      </c>
      <c r="F8" s="1">
        <v>538.79999999999995</v>
      </c>
      <c r="G8">
        <v>1</v>
      </c>
      <c r="H8" s="1">
        <f t="shared" si="0"/>
        <v>538.79999999999995</v>
      </c>
      <c r="J8">
        <v>64</v>
      </c>
      <c r="K8">
        <f t="shared" si="1"/>
        <v>64</v>
      </c>
    </row>
    <row r="9" spans="1:11" x14ac:dyDescent="0.25">
      <c r="B9" t="s">
        <v>20</v>
      </c>
      <c r="F9" s="1"/>
      <c r="H9" s="1"/>
      <c r="K9">
        <f t="shared" si="1"/>
        <v>0</v>
      </c>
    </row>
    <row r="10" spans="1:11" x14ac:dyDescent="0.25">
      <c r="A10">
        <v>6</v>
      </c>
      <c r="B10" t="s">
        <v>21</v>
      </c>
      <c r="F10" s="1">
        <v>4</v>
      </c>
      <c r="G10">
        <v>1</v>
      </c>
      <c r="H10" s="1">
        <f t="shared" si="0"/>
        <v>4</v>
      </c>
      <c r="J10">
        <v>2</v>
      </c>
      <c r="K10">
        <f t="shared" si="1"/>
        <v>2</v>
      </c>
    </row>
    <row r="11" spans="1:11" x14ac:dyDescent="0.25">
      <c r="A11">
        <v>7</v>
      </c>
      <c r="B11" t="s">
        <v>22</v>
      </c>
      <c r="F11" s="1">
        <v>27</v>
      </c>
      <c r="G11">
        <v>1</v>
      </c>
      <c r="H11" s="1">
        <f t="shared" si="0"/>
        <v>27</v>
      </c>
      <c r="J11">
        <v>4</v>
      </c>
      <c r="K11">
        <f t="shared" si="1"/>
        <v>4</v>
      </c>
    </row>
    <row r="12" spans="1:11" x14ac:dyDescent="0.25">
      <c r="A12">
        <v>8</v>
      </c>
      <c r="B12" t="s">
        <v>23</v>
      </c>
      <c r="F12" s="1">
        <v>14.1</v>
      </c>
      <c r="G12">
        <v>1</v>
      </c>
      <c r="H12" s="1">
        <f t="shared" si="0"/>
        <v>14.1</v>
      </c>
      <c r="J12">
        <v>2</v>
      </c>
      <c r="K12">
        <f t="shared" si="1"/>
        <v>2</v>
      </c>
    </row>
    <row r="13" spans="1:11" x14ac:dyDescent="0.25">
      <c r="A13">
        <v>9</v>
      </c>
      <c r="B13" t="s">
        <v>24</v>
      </c>
      <c r="F13" s="1">
        <v>7.8</v>
      </c>
      <c r="G13">
        <v>1</v>
      </c>
      <c r="H13" s="1">
        <f t="shared" si="0"/>
        <v>7.8</v>
      </c>
      <c r="J13">
        <v>2</v>
      </c>
      <c r="K13">
        <f t="shared" si="1"/>
        <v>2</v>
      </c>
    </row>
    <row r="14" spans="1:11" x14ac:dyDescent="0.25">
      <c r="A14">
        <v>10</v>
      </c>
      <c r="B14" t="s">
        <v>25</v>
      </c>
      <c r="F14" s="1">
        <v>5.9</v>
      </c>
      <c r="G14">
        <v>1</v>
      </c>
      <c r="H14" s="1">
        <f t="shared" si="0"/>
        <v>5.9</v>
      </c>
      <c r="J14">
        <v>2</v>
      </c>
      <c r="K14">
        <f t="shared" si="1"/>
        <v>2</v>
      </c>
    </row>
    <row r="15" spans="1:11" x14ac:dyDescent="0.25">
      <c r="B15" t="s">
        <v>26</v>
      </c>
      <c r="F15" s="1"/>
      <c r="H15" s="1"/>
      <c r="K15">
        <f t="shared" si="1"/>
        <v>0</v>
      </c>
    </row>
    <row r="16" spans="1:11" x14ac:dyDescent="0.25">
      <c r="A16">
        <v>11</v>
      </c>
      <c r="F16" s="1">
        <v>0.55000000000000004</v>
      </c>
      <c r="G16">
        <v>4</v>
      </c>
      <c r="H16" s="1">
        <f t="shared" si="0"/>
        <v>2.2000000000000002</v>
      </c>
      <c r="J16">
        <v>2</v>
      </c>
      <c r="K16">
        <f t="shared" si="1"/>
        <v>8</v>
      </c>
    </row>
    <row r="17" spans="1:11" x14ac:dyDescent="0.25">
      <c r="A17">
        <v>12</v>
      </c>
      <c r="F17" s="1">
        <v>0.55000000000000004</v>
      </c>
      <c r="G17">
        <v>1</v>
      </c>
      <c r="H17" s="1">
        <f t="shared" si="0"/>
        <v>0.55000000000000004</v>
      </c>
      <c r="J17">
        <v>2</v>
      </c>
      <c r="K17">
        <f t="shared" si="1"/>
        <v>2</v>
      </c>
    </row>
    <row r="18" spans="1:11" x14ac:dyDescent="0.25">
      <c r="A18">
        <v>13</v>
      </c>
      <c r="F18" s="1">
        <v>0.55000000000000004</v>
      </c>
      <c r="G18">
        <v>5</v>
      </c>
      <c r="H18" s="1">
        <f t="shared" si="0"/>
        <v>2.75</v>
      </c>
      <c r="J18">
        <v>2</v>
      </c>
      <c r="K18">
        <f t="shared" si="1"/>
        <v>10</v>
      </c>
    </row>
    <row r="19" spans="1:11" x14ac:dyDescent="0.25">
      <c r="A19">
        <v>14</v>
      </c>
      <c r="F19" s="1">
        <v>0.55000000000000004</v>
      </c>
      <c r="G19">
        <v>2</v>
      </c>
      <c r="H19" s="1">
        <f t="shared" si="0"/>
        <v>1.1000000000000001</v>
      </c>
      <c r="J19">
        <v>2</v>
      </c>
      <c r="K19">
        <f t="shared" si="1"/>
        <v>4</v>
      </c>
    </row>
    <row r="20" spans="1:11" x14ac:dyDescent="0.25">
      <c r="A20">
        <v>15</v>
      </c>
      <c r="F20" s="1">
        <v>0.55000000000000004</v>
      </c>
      <c r="G20">
        <v>2</v>
      </c>
      <c r="H20" s="1">
        <f t="shared" si="0"/>
        <v>1.1000000000000001</v>
      </c>
      <c r="J20">
        <v>2</v>
      </c>
      <c r="K20">
        <f t="shared" si="1"/>
        <v>4</v>
      </c>
    </row>
    <row r="21" spans="1:11" x14ac:dyDescent="0.25">
      <c r="A21">
        <v>16</v>
      </c>
      <c r="F21" s="1">
        <v>0.55000000000000004</v>
      </c>
      <c r="G21">
        <v>2</v>
      </c>
      <c r="H21" s="1">
        <f t="shared" si="0"/>
        <v>1.1000000000000001</v>
      </c>
      <c r="J21">
        <v>2</v>
      </c>
      <c r="K21">
        <f t="shared" si="1"/>
        <v>4</v>
      </c>
    </row>
    <row r="22" spans="1:11" x14ac:dyDescent="0.25">
      <c r="A22">
        <v>17</v>
      </c>
      <c r="F22" s="1">
        <v>0.55000000000000004</v>
      </c>
      <c r="G22">
        <v>10</v>
      </c>
      <c r="H22" s="1">
        <f t="shared" si="0"/>
        <v>5.5</v>
      </c>
      <c r="J22">
        <v>2</v>
      </c>
      <c r="K22">
        <f t="shared" si="1"/>
        <v>20</v>
      </c>
    </row>
    <row r="23" spans="1:11" x14ac:dyDescent="0.25">
      <c r="B23" t="s">
        <v>27</v>
      </c>
      <c r="F23" s="1"/>
      <c r="H23" s="1"/>
      <c r="K23">
        <f t="shared" si="1"/>
        <v>0</v>
      </c>
    </row>
    <row r="24" spans="1:11" x14ac:dyDescent="0.25">
      <c r="A24">
        <v>18</v>
      </c>
      <c r="B24" t="s">
        <v>28</v>
      </c>
      <c r="F24" s="1">
        <v>7.5</v>
      </c>
      <c r="G24">
        <v>2</v>
      </c>
      <c r="H24" s="1">
        <f t="shared" si="0"/>
        <v>15</v>
      </c>
      <c r="J24">
        <v>2</v>
      </c>
      <c r="K24">
        <f t="shared" si="1"/>
        <v>4</v>
      </c>
    </row>
    <row r="25" spans="1:11" x14ac:dyDescent="0.25">
      <c r="B25" t="s">
        <v>29</v>
      </c>
      <c r="F25" s="1"/>
      <c r="H25" s="1"/>
      <c r="K25">
        <f t="shared" si="1"/>
        <v>0</v>
      </c>
    </row>
    <row r="26" spans="1:11" x14ac:dyDescent="0.25">
      <c r="A26">
        <v>19</v>
      </c>
      <c r="B26" t="s">
        <v>30</v>
      </c>
      <c r="F26" s="1">
        <v>8</v>
      </c>
      <c r="G26">
        <v>1</v>
      </c>
      <c r="H26" s="1">
        <f t="shared" si="0"/>
        <v>8</v>
      </c>
      <c r="J26">
        <v>2</v>
      </c>
      <c r="K26">
        <f t="shared" si="1"/>
        <v>2</v>
      </c>
    </row>
    <row r="27" spans="1:11" x14ac:dyDescent="0.25">
      <c r="B27" t="s">
        <v>31</v>
      </c>
      <c r="F27" s="1"/>
      <c r="H27" s="1"/>
      <c r="K27">
        <f t="shared" si="1"/>
        <v>0</v>
      </c>
    </row>
    <row r="28" spans="1:11" x14ac:dyDescent="0.25">
      <c r="A28">
        <v>20</v>
      </c>
      <c r="B28" t="s">
        <v>32</v>
      </c>
      <c r="F28" s="1">
        <v>7</v>
      </c>
      <c r="G28">
        <v>1</v>
      </c>
      <c r="H28" s="1">
        <f t="shared" si="0"/>
        <v>7</v>
      </c>
      <c r="J28">
        <v>3</v>
      </c>
      <c r="K28">
        <f t="shared" si="1"/>
        <v>3</v>
      </c>
    </row>
    <row r="29" spans="1:11" x14ac:dyDescent="0.25">
      <c r="B29" t="s">
        <v>33</v>
      </c>
      <c r="F29" s="1"/>
      <c r="H29" s="1"/>
      <c r="K29">
        <f t="shared" si="1"/>
        <v>0</v>
      </c>
    </row>
    <row r="30" spans="1:11" x14ac:dyDescent="0.25">
      <c r="A30">
        <v>21</v>
      </c>
      <c r="B30" t="s">
        <v>34</v>
      </c>
      <c r="F30" s="1">
        <v>2</v>
      </c>
      <c r="G30">
        <v>4</v>
      </c>
      <c r="H30" s="1">
        <f t="shared" si="0"/>
        <v>8</v>
      </c>
      <c r="J30">
        <v>2</v>
      </c>
      <c r="K30">
        <f t="shared" si="1"/>
        <v>8</v>
      </c>
    </row>
    <row r="31" spans="1:11" x14ac:dyDescent="0.25">
      <c r="A31">
        <v>22</v>
      </c>
      <c r="B31" t="s">
        <v>35</v>
      </c>
      <c r="F31" s="1">
        <v>3</v>
      </c>
      <c r="G31">
        <v>1</v>
      </c>
      <c r="H31" s="1">
        <f t="shared" si="0"/>
        <v>3</v>
      </c>
      <c r="J31">
        <v>3</v>
      </c>
      <c r="K31">
        <f t="shared" si="1"/>
        <v>3</v>
      </c>
    </row>
    <row r="32" spans="1:11" x14ac:dyDescent="0.25">
      <c r="A32">
        <v>23</v>
      </c>
      <c r="B32" t="s">
        <v>36</v>
      </c>
      <c r="F32" s="1">
        <v>4</v>
      </c>
      <c r="G32">
        <v>1</v>
      </c>
      <c r="H32" s="1">
        <f t="shared" si="0"/>
        <v>4</v>
      </c>
      <c r="J32">
        <v>4</v>
      </c>
      <c r="K32">
        <f t="shared" si="1"/>
        <v>4</v>
      </c>
    </row>
    <row r="33" spans="1:14" x14ac:dyDescent="0.25">
      <c r="A33">
        <v>24</v>
      </c>
      <c r="B33" t="s">
        <v>37</v>
      </c>
      <c r="F33" s="1">
        <v>6</v>
      </c>
      <c r="G33">
        <v>1</v>
      </c>
      <c r="H33" s="1">
        <f t="shared" si="0"/>
        <v>6</v>
      </c>
      <c r="J33">
        <v>6</v>
      </c>
      <c r="K33">
        <f t="shared" si="1"/>
        <v>6</v>
      </c>
    </row>
    <row r="34" spans="1:14" x14ac:dyDescent="0.25">
      <c r="A34">
        <v>25</v>
      </c>
      <c r="B34" t="s">
        <v>38</v>
      </c>
      <c r="F34" s="1">
        <v>90</v>
      </c>
      <c r="G34">
        <v>2</v>
      </c>
      <c r="H34" s="1">
        <f t="shared" si="0"/>
        <v>180</v>
      </c>
      <c r="J34">
        <v>40</v>
      </c>
      <c r="K34">
        <f t="shared" si="1"/>
        <v>80</v>
      </c>
    </row>
    <row r="35" spans="1:14" x14ac:dyDescent="0.25">
      <c r="B35" t="s">
        <v>39</v>
      </c>
      <c r="F35" s="1"/>
      <c r="H35" s="1"/>
      <c r="K35">
        <f t="shared" si="1"/>
        <v>0</v>
      </c>
    </row>
    <row r="36" spans="1:14" x14ac:dyDescent="0.25">
      <c r="A36">
        <v>26</v>
      </c>
      <c r="B36" t="s">
        <v>40</v>
      </c>
      <c r="F36" s="1">
        <v>180</v>
      </c>
      <c r="G36">
        <v>1</v>
      </c>
      <c r="H36" s="1">
        <f t="shared" si="0"/>
        <v>180</v>
      </c>
      <c r="J36">
        <v>8</v>
      </c>
      <c r="K36">
        <f t="shared" si="1"/>
        <v>8</v>
      </c>
    </row>
    <row r="37" spans="1:14" x14ac:dyDescent="0.25">
      <c r="A37">
        <v>27</v>
      </c>
      <c r="B37" t="s">
        <v>41</v>
      </c>
      <c r="F37" s="1">
        <v>11</v>
      </c>
      <c r="G37">
        <v>2</v>
      </c>
      <c r="H37" s="1">
        <f t="shared" si="0"/>
        <v>22</v>
      </c>
      <c r="J37">
        <v>8</v>
      </c>
      <c r="K37">
        <f t="shared" si="1"/>
        <v>16</v>
      </c>
    </row>
    <row r="38" spans="1:14" x14ac:dyDescent="0.25">
      <c r="A38">
        <v>28</v>
      </c>
      <c r="B38" t="s">
        <v>44</v>
      </c>
      <c r="F38" s="1">
        <v>11</v>
      </c>
      <c r="G38">
        <v>1</v>
      </c>
      <c r="H38" s="1">
        <f t="shared" si="0"/>
        <v>11</v>
      </c>
      <c r="J38">
        <v>10</v>
      </c>
      <c r="K38">
        <f t="shared" si="1"/>
        <v>10</v>
      </c>
    </row>
    <row r="39" spans="1:14" x14ac:dyDescent="0.25">
      <c r="A39">
        <v>29</v>
      </c>
      <c r="B39" t="s">
        <v>45</v>
      </c>
      <c r="F39" s="1">
        <v>8</v>
      </c>
      <c r="G39">
        <v>1</v>
      </c>
      <c r="H39" s="1">
        <f t="shared" si="0"/>
        <v>8</v>
      </c>
      <c r="J39">
        <v>6</v>
      </c>
      <c r="K39">
        <f t="shared" si="1"/>
        <v>6</v>
      </c>
    </row>
    <row r="40" spans="1:14" x14ac:dyDescent="0.25">
      <c r="B40" t="s">
        <v>42</v>
      </c>
      <c r="F40" s="1"/>
      <c r="H40" s="1"/>
    </row>
    <row r="41" spans="1:14" x14ac:dyDescent="0.25">
      <c r="A41">
        <v>30</v>
      </c>
      <c r="B41" t="s">
        <v>43</v>
      </c>
      <c r="F41" s="1">
        <v>200</v>
      </c>
      <c r="G41">
        <v>1</v>
      </c>
      <c r="H41" s="1">
        <f t="shared" si="0"/>
        <v>200</v>
      </c>
    </row>
    <row r="42" spans="1:14" x14ac:dyDescent="0.25">
      <c r="F42" s="1"/>
      <c r="K42">
        <f>SUM(K3:K39)</f>
        <v>390</v>
      </c>
      <c r="L42">
        <f>K42/0.87*1.302*1.2</f>
        <v>700.3862068965517</v>
      </c>
    </row>
    <row r="43" spans="1:14" x14ac:dyDescent="0.25">
      <c r="F43" s="1"/>
      <c r="H43" s="3">
        <f>SUM(H3:H41)</f>
        <v>2331.5999999999995</v>
      </c>
    </row>
    <row r="44" spans="1:14" x14ac:dyDescent="0.25">
      <c r="F44" s="1"/>
      <c r="K44" t="s">
        <v>46</v>
      </c>
      <c r="L44" s="3">
        <f>SUM(H43,L42)</f>
        <v>3031.9862068965513</v>
      </c>
    </row>
    <row r="45" spans="1:14" x14ac:dyDescent="0.25">
      <c r="F45" s="1"/>
    </row>
    <row r="46" spans="1:14" x14ac:dyDescent="0.25">
      <c r="F46" s="1"/>
      <c r="L46" s="3">
        <f>L44*1.5</f>
        <v>4547.9793103448264</v>
      </c>
    </row>
    <row r="47" spans="1:14" x14ac:dyDescent="0.25">
      <c r="F47" s="1"/>
    </row>
    <row r="48" spans="1:14" x14ac:dyDescent="0.25">
      <c r="F48" s="1"/>
      <c r="L48" s="1">
        <f>L46-L44</f>
        <v>1515.9931034482752</v>
      </c>
      <c r="M48" s="1">
        <f>L48-L48*20/120</f>
        <v>1263.3275862068961</v>
      </c>
      <c r="N48" s="1">
        <f>M48*0.8</f>
        <v>1010.6620689655169</v>
      </c>
    </row>
    <row r="49" spans="6:6" x14ac:dyDescent="0.25">
      <c r="F49" s="1"/>
    </row>
    <row r="50" spans="6:6" x14ac:dyDescent="0.25">
      <c r="F50" s="1"/>
    </row>
    <row r="51" spans="6:6" x14ac:dyDescent="0.25">
      <c r="F5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АО НПО КАДЕТЕК</dc:creator>
  <cp:lastModifiedBy>Виталий Флоренцев</cp:lastModifiedBy>
  <dcterms:created xsi:type="dcterms:W3CDTF">2022-02-28T07:41:05Z</dcterms:created>
  <dcterms:modified xsi:type="dcterms:W3CDTF">2022-02-28T08:07:57Z</dcterms:modified>
</cp:coreProperties>
</file>